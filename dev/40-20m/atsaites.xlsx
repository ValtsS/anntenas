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rojects\anntenas\dev\40-20m\"/>
    </mc:Choice>
  </mc:AlternateContent>
  <xr:revisionPtr revIDLastSave="0" documentId="13_ncr:1_{6A950401-D1DE-4CB6-AB84-F4DA7684C6F9}" xr6:coauthVersionLast="47" xr6:coauthVersionMax="47" xr10:uidLastSave="{00000000-0000-0000-0000-000000000000}"/>
  <bookViews>
    <workbookView xWindow="58440" yWindow="-105" windowWidth="29595" windowHeight="26055" xr2:uid="{622EF32D-171A-4D1B-BB67-033D69D64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F17" i="1"/>
  <c r="G17" i="1"/>
  <c r="E17" i="1"/>
  <c r="J13" i="1"/>
  <c r="J11" i="1"/>
  <c r="J9" i="1"/>
  <c r="F6" i="1"/>
  <c r="G2" i="1"/>
  <c r="G5" i="1" s="1"/>
  <c r="F2" i="1"/>
  <c r="F4" i="1" s="1"/>
  <c r="E2" i="1"/>
  <c r="E6" i="1" s="1"/>
  <c r="G3" i="1" l="1"/>
  <c r="E5" i="1"/>
  <c r="F3" i="1"/>
  <c r="E4" i="1"/>
  <c r="G4" i="1"/>
  <c r="E3" i="1"/>
  <c r="I7" i="1" s="1"/>
  <c r="G6" i="1"/>
  <c r="F5" i="1"/>
</calcChain>
</file>

<file path=xl/sharedStrings.xml><?xml version="1.0" encoding="utf-8"?>
<sst xmlns="http://schemas.openxmlformats.org/spreadsheetml/2006/main" count="6" uniqueCount="6">
  <si>
    <t>Līdz tornim (m)</t>
  </si>
  <si>
    <t>Augstumi</t>
  </si>
  <si>
    <t>Fiksatoru skaits</t>
  </si>
  <si>
    <t>Acis</t>
  </si>
  <si>
    <t>Thimbles</t>
  </si>
  <si>
    <t>Savilcejs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</si>
</sst>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A842-B0C2-4834-98A0-8EB17799652E}">
  <dimension ref="A2:J18"/>
  <sheetViews>
    <sheetView tabSelected="1" workbookViewId="0">
      <selection activeCell="E6" sqref="E6"/>
    </sheetView>
  </sheetViews>
  <sheetFormatPr defaultRowHeight="15" x14ac:dyDescent="0.25"/>
  <sheetData>
    <row r="2" spans="1:10" x14ac:dyDescent="0.25">
      <c r="A2" t="s">
        <v>0</v>
      </c>
      <c r="E2">
        <f>12*2.4+1</f>
        <v>29.799999999999997</v>
      </c>
      <c r="F2">
        <f>8*2.4+1</f>
        <v>20.2</v>
      </c>
      <c r="G2">
        <f>4*2.4+1</f>
        <v>10.6</v>
      </c>
      <c r="I2" t="s">
        <v>1</v>
      </c>
    </row>
    <row r="3" spans="1:10" x14ac:dyDescent="0.25">
      <c r="A3">
        <v>25.3</v>
      </c>
      <c r="E3">
        <f>SQRT(E$2^2+$A3^2)+3</f>
        <v>42.091303380675349</v>
      </c>
      <c r="F3">
        <f t="shared" ref="F3:G6" si="0">SQRT(F$2^2+$A3^2)+3</f>
        <v>35.374835906920055</v>
      </c>
      <c r="G3">
        <f t="shared" si="0"/>
        <v>30.430822080280425</v>
      </c>
    </row>
    <row r="4" spans="1:10" x14ac:dyDescent="0.25">
      <c r="A4">
        <v>20.2</v>
      </c>
      <c r="E4">
        <f t="shared" ref="E4:E6" si="1">SQRT(E$2^2+$A4^2)+3</f>
        <v>39.001111093964866</v>
      </c>
      <c r="F4">
        <f t="shared" si="0"/>
        <v>31.56711395993652</v>
      </c>
      <c r="G4">
        <f t="shared" si="0"/>
        <v>25.812277396174192</v>
      </c>
    </row>
    <row r="5" spans="1:10" x14ac:dyDescent="0.25">
      <c r="A5">
        <v>20.3</v>
      </c>
      <c r="E5">
        <f t="shared" si="1"/>
        <v>39.057315485210488</v>
      </c>
      <c r="F5">
        <f t="shared" si="0"/>
        <v>31.637911935055602</v>
      </c>
      <c r="G5">
        <f t="shared" si="0"/>
        <v>25.900873345791858</v>
      </c>
    </row>
    <row r="6" spans="1:10" x14ac:dyDescent="0.25">
      <c r="A6">
        <v>19.3</v>
      </c>
      <c r="E6">
        <f t="shared" si="1"/>
        <v>38.503943442947289</v>
      </c>
      <c r="F6">
        <f t="shared" si="0"/>
        <v>30.937966998334005</v>
      </c>
      <c r="G6">
        <f t="shared" si="0"/>
        <v>25.019309707617992</v>
      </c>
    </row>
    <row r="7" spans="1:10" x14ac:dyDescent="0.25">
      <c r="I7">
        <f>SUM(E3:G6)</f>
        <v>395.33478473290864</v>
      </c>
    </row>
    <row r="9" spans="1:10" x14ac:dyDescent="0.25">
      <c r="H9" t="s">
        <v>2</v>
      </c>
      <c r="J9">
        <f>12*8</f>
        <v>96</v>
      </c>
    </row>
    <row r="11" spans="1:10" x14ac:dyDescent="0.25">
      <c r="H11" t="s">
        <v>3</v>
      </c>
      <c r="J11">
        <f>12*2</f>
        <v>24</v>
      </c>
    </row>
    <row r="13" spans="1:10" x14ac:dyDescent="0.25">
      <c r="H13" t="s">
        <v>4</v>
      </c>
      <c r="J13">
        <f>12+4</f>
        <v>16</v>
      </c>
    </row>
    <row r="15" spans="1:10" x14ac:dyDescent="0.25">
      <c r="H15" t="s">
        <v>5</v>
      </c>
      <c r="J15">
        <v>4</v>
      </c>
    </row>
    <row r="17" spans="5:7" x14ac:dyDescent="0.25">
      <c r="E17">
        <f>SUM(E3:E6)</f>
        <v>158.65367340279801</v>
      </c>
      <c r="F17">
        <f t="shared" ref="F17:G17" si="2">SUM(F3:F6)</f>
        <v>129.51782880024618</v>
      </c>
      <c r="G17">
        <f t="shared" si="2"/>
        <v>107.16328252986446</v>
      </c>
    </row>
    <row r="18" spans="5:7" x14ac:dyDescent="0.25">
      <c r="E18">
        <f>(160-E17)/3</f>
        <v>0.44877553240066465</v>
      </c>
      <c r="F18">
        <v>130</v>
      </c>
      <c r="G1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Valts S</dc:creator>
  <cp:lastModifiedBy>Valts S</cp:lastModifiedBy>
  <dcterms:created xsi:type="dcterms:W3CDTF">2026-08-14T19:02:25Z</dcterms:created>
  <dcterms:modified xsi:type="dcterms:W3CDTF">2026-10-17T09:52:04Z</dcterms:modified>
</cp:coreProperties>
</file>